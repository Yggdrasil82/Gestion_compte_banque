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marchandier\Downloads\"/>
    </mc:Choice>
  </mc:AlternateContent>
  <xr:revisionPtr revIDLastSave="0" documentId="8_{46EF46AA-E224-4E85-BEBA-4458127B7107}" xr6:coauthVersionLast="47" xr6:coauthVersionMax="47" xr10:uidLastSave="{00000000-0000-0000-0000-000000000000}"/>
  <bookViews>
    <workbookView xWindow="-120" yWindow="-120" windowWidth="29040" windowHeight="17520" tabRatio="771" xr2:uid="{00000000-000D-0000-FFFF-FFFF00000000}"/>
  </bookViews>
  <sheets>
    <sheet name="Configuration" sheetId="12" r:id="rId1"/>
    <sheet name="Octobre 2026" sheetId="182" r:id="rId2"/>
    <sheet name="Type" sheetId="11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182" l="1"/>
  <c r="C29" i="182"/>
  <c r="F28" i="182"/>
  <c r="F27" i="182"/>
  <c r="F26" i="182"/>
  <c r="C26" i="182"/>
  <c r="E15" i="182" s="1"/>
  <c r="F25" i="182"/>
  <c r="E25" i="182"/>
  <c r="C25" i="182"/>
  <c r="F24" i="182"/>
  <c r="F23" i="182"/>
  <c r="F22" i="182"/>
  <c r="C22" i="182"/>
  <c r="F21" i="182"/>
  <c r="F20" i="182"/>
  <c r="C20" i="182"/>
  <c r="F19" i="182"/>
  <c r="F18" i="182"/>
  <c r="F17" i="182"/>
  <c r="C16" i="182"/>
  <c r="K6" i="182" s="1"/>
  <c r="C15" i="182"/>
  <c r="F14" i="182"/>
  <c r="C14" i="182"/>
  <c r="F13" i="182"/>
  <c r="C13" i="182"/>
  <c r="C12" i="182"/>
  <c r="G8" i="182"/>
  <c r="G10" i="182" s="1"/>
  <c r="G12" i="182" s="1"/>
  <c r="C8" i="182"/>
  <c r="C7" i="182"/>
  <c r="O2" i="182"/>
  <c r="N2" i="182"/>
  <c r="B4" i="182" s="1"/>
  <c r="R5" i="182"/>
  <c r="R10" i="182"/>
  <c r="G13" i="182" l="1"/>
  <c r="K7" i="182"/>
  <c r="E14" i="182"/>
  <c r="G14" i="182" s="1"/>
  <c r="G15" i="182" s="1"/>
  <c r="G16" i="182" s="1"/>
  <c r="G17" i="182" s="1"/>
  <c r="G18" i="182" s="1"/>
  <c r="G19" i="182" s="1"/>
  <c r="G20" i="182" s="1"/>
  <c r="G21" i="182" s="1"/>
  <c r="G22" i="182" s="1"/>
  <c r="G23" i="182" s="1"/>
  <c r="G24" i="182" s="1"/>
  <c r="G25" i="182" s="1"/>
  <c r="G26" i="182" s="1"/>
  <c r="G27" i="182" s="1"/>
  <c r="G28" i="182" s="1"/>
  <c r="G29" i="182" s="1"/>
  <c r="G30" i="182" s="1"/>
  <c r="G31" i="182" s="1"/>
  <c r="G32" i="182" s="1"/>
  <c r="G33" i="182" s="1"/>
  <c r="G34" i="182" s="1"/>
  <c r="G35" i="182" s="1"/>
  <c r="G36" i="182" s="1"/>
  <c r="G37" i="182" s="1"/>
  <c r="G38" i="182" s="1"/>
  <c r="K5" i="182" s="1"/>
  <c r="E25" i="11" l="1"/>
  <c r="C29" i="11"/>
  <c r="C26" i="11"/>
  <c r="C25" i="11"/>
  <c r="C22" i="11"/>
  <c r="C20" i="11"/>
  <c r="C16" i="11"/>
  <c r="R10" i="11"/>
  <c r="F29" i="11" l="1"/>
  <c r="F28" i="11" l="1"/>
  <c r="F27" i="11"/>
  <c r="F26" i="11"/>
  <c r="F25" i="11"/>
  <c r="F24" i="11"/>
  <c r="F23" i="11"/>
  <c r="F22" i="11"/>
  <c r="F21" i="11"/>
  <c r="F20" i="11"/>
  <c r="F19" i="11"/>
  <c r="F18" i="11"/>
  <c r="F17" i="11"/>
  <c r="C15" i="11" l="1"/>
  <c r="C14" i="11"/>
  <c r="F13" i="11"/>
  <c r="K7" i="11" l="1"/>
  <c r="K6" i="11"/>
  <c r="E15" i="11"/>
  <c r="E14" i="11"/>
  <c r="F14" i="11"/>
  <c r="O2" i="11"/>
  <c r="N2" i="11"/>
  <c r="G8" i="11" l="1"/>
  <c r="G10" i="11" s="1"/>
  <c r="C8" i="11"/>
  <c r="C13" i="11"/>
  <c r="C12" i="11"/>
  <c r="B4" i="11" l="1"/>
  <c r="C7" i="11"/>
  <c r="G12" i="11" l="1"/>
  <c r="G13" i="11" l="1"/>
  <c r="G14" i="11" s="1"/>
  <c r="G15" i="11" s="1"/>
  <c r="G16" i="11" s="1"/>
  <c r="R5" i="11"/>
  <c r="G17" i="11" l="1"/>
  <c r="G18" i="11" l="1"/>
  <c r="G19" i="11" l="1"/>
  <c r="G20" i="11" l="1"/>
  <c r="G21" i="11" l="1"/>
  <c r="G22" i="11" l="1"/>
  <c r="G23" i="11" l="1"/>
  <c r="G24" i="11" l="1"/>
  <c r="G25" i="11" l="1"/>
  <c r="G26" i="11" l="1"/>
  <c r="G27" i="11" l="1"/>
  <c r="G28" i="11" l="1"/>
  <c r="G29" i="11" l="1"/>
  <c r="G30" i="11" l="1"/>
  <c r="G31" i="11" l="1"/>
  <c r="G32" i="11" l="1"/>
  <c r="G33" i="11" l="1"/>
  <c r="G34" i="11" l="1"/>
  <c r="G35" i="11" l="1"/>
  <c r="G36" i="11" l="1"/>
  <c r="G37" i="11" l="1"/>
  <c r="G38" i="11" s="1"/>
  <c r="K5" i="11" s="1"/>
</calcChain>
</file>

<file path=xl/sharedStrings.xml><?xml version="1.0" encoding="utf-8"?>
<sst xmlns="http://schemas.openxmlformats.org/spreadsheetml/2006/main" count="127" uniqueCount="75">
  <si>
    <t>Compte commun</t>
  </si>
  <si>
    <t>Débit</t>
  </si>
  <si>
    <t>Solde</t>
  </si>
  <si>
    <t>Type</t>
  </si>
  <si>
    <t>Mensuel</t>
  </si>
  <si>
    <t>Descriptifs</t>
  </si>
  <si>
    <t>Crédit</t>
  </si>
  <si>
    <t>Total</t>
  </si>
  <si>
    <t>Ancien Solde :</t>
  </si>
  <si>
    <t>Configuration</t>
  </si>
  <si>
    <t>Information salaires</t>
  </si>
  <si>
    <t>Janvier</t>
  </si>
  <si>
    <t>Mars</t>
  </si>
  <si>
    <t>Avril</t>
  </si>
  <si>
    <t>Mai</t>
  </si>
  <si>
    <t>Juin</t>
  </si>
  <si>
    <t>Juillet</t>
  </si>
  <si>
    <t>Août</t>
  </si>
  <si>
    <t>Octobre</t>
  </si>
  <si>
    <t>Novembre</t>
  </si>
  <si>
    <t>Compte chèque Prévisionnel:</t>
  </si>
  <si>
    <t xml:space="preserve"> </t>
  </si>
  <si>
    <t>Validation</t>
  </si>
  <si>
    <t>Allocations</t>
  </si>
  <si>
    <t>CAF :</t>
  </si>
  <si>
    <t>Autres :</t>
  </si>
  <si>
    <t>Année</t>
  </si>
  <si>
    <t>Année de début :</t>
  </si>
  <si>
    <t>Mois de début :</t>
  </si>
  <si>
    <t>Février</t>
  </si>
  <si>
    <t>Séptembre</t>
  </si>
  <si>
    <t>Décembre</t>
  </si>
  <si>
    <t>Informations</t>
  </si>
  <si>
    <t>Salaire</t>
  </si>
  <si>
    <t>Ligne debut</t>
  </si>
  <si>
    <t>Solde :</t>
  </si>
  <si>
    <t>Solde actuel</t>
  </si>
  <si>
    <t>Ligne de départ</t>
  </si>
  <si>
    <t>ligne deb. Prev. Type</t>
  </si>
  <si>
    <r>
      <t xml:space="preserve">Ajustement des montants des mensualités </t>
    </r>
    <r>
      <rPr>
        <b/>
        <sz val="10"/>
        <color rgb="FFFF0000"/>
        <rFont val="Arial"/>
        <family val="2"/>
      </rPr>
      <t>(mettre des " : " à la fin)</t>
    </r>
  </si>
  <si>
    <t>Depenses prévisionnelles</t>
  </si>
  <si>
    <t>Courses :</t>
  </si>
  <si>
    <t>Carburant :</t>
  </si>
  <si>
    <t>Romain :</t>
  </si>
  <si>
    <t>Loyer :</t>
  </si>
  <si>
    <t>Direct Energie :</t>
  </si>
  <si>
    <t>Assurance Voiture :</t>
  </si>
  <si>
    <t>Astria :</t>
  </si>
  <si>
    <t>Cotisation LCL :</t>
  </si>
  <si>
    <t>Assurance LCL :</t>
  </si>
  <si>
    <t>Spotify :</t>
  </si>
  <si>
    <t>Credit :</t>
  </si>
  <si>
    <t>Dépenses Courses :</t>
  </si>
  <si>
    <t>Dépenses Carburant :</t>
  </si>
  <si>
    <t/>
  </si>
  <si>
    <t>Poubelle :</t>
  </si>
  <si>
    <t>Cantine :</t>
  </si>
  <si>
    <t>NDF :</t>
  </si>
  <si>
    <t>Credit LCL :</t>
  </si>
  <si>
    <t>Mobile :</t>
  </si>
  <si>
    <t>xxxxx</t>
  </si>
  <si>
    <t>Economie :</t>
  </si>
  <si>
    <t>Montant :</t>
  </si>
  <si>
    <t>Economie</t>
  </si>
  <si>
    <t>Eau :</t>
  </si>
  <si>
    <t>Mobile Adien :</t>
  </si>
  <si>
    <t>Abo Xbox :</t>
  </si>
  <si>
    <t>Crédit Voiture :</t>
  </si>
  <si>
    <t>Electricité :</t>
  </si>
  <si>
    <t>Mobile Killian :</t>
  </si>
  <si>
    <t>Alarme :</t>
  </si>
  <si>
    <t>Internet</t>
  </si>
  <si>
    <t>Mobile Anaëlle :</t>
  </si>
  <si>
    <t>Remb Pascale :</t>
  </si>
  <si>
    <t>Remb. Pascale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</si>
</sst>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8" formatCode="#,##0.00\ &quot;€&quot;;[Red]\-#,##0.00\ &quot;€&quot;"/>
  </numFmts>
  <fonts count="18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53"/>
      <name val="Arial"/>
      <family val="2"/>
    </font>
    <font>
      <sz val="8"/>
      <name val="Arial"/>
      <family val="2"/>
    </font>
    <font>
      <b/>
      <sz val="10"/>
      <color indexed="16"/>
      <name val="Arial"/>
      <family val="2"/>
    </font>
    <font>
      <b/>
      <sz val="10"/>
      <color indexed="20"/>
      <name val="Arial"/>
      <family val="2"/>
    </font>
    <font>
      <b/>
      <sz val="18"/>
      <color indexed="12"/>
      <name val="Arial"/>
      <family val="2"/>
    </font>
    <font>
      <b/>
      <sz val="14"/>
      <color indexed="12"/>
      <name val="Arial"/>
      <family val="2"/>
    </font>
    <font>
      <b/>
      <sz val="14"/>
      <color indexed="10"/>
      <name val="Arial"/>
      <family val="2"/>
    </font>
    <font>
      <b/>
      <sz val="10"/>
      <color indexed="48"/>
      <name val="Arial"/>
      <family val="2"/>
    </font>
    <font>
      <sz val="10"/>
      <name val="Arial"/>
      <family val="2"/>
    </font>
    <font>
      <b/>
      <sz val="10"/>
      <color theme="4"/>
      <name val="Arial"/>
      <family val="2"/>
    </font>
    <font>
      <b/>
      <sz val="10"/>
      <color rgb="FFFF0000"/>
      <name val="Arial"/>
      <family val="2"/>
    </font>
    <font>
      <b/>
      <sz val="10"/>
      <color theme="5" tint="-0.24997711111789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4" fillId="0" borderId="0"/>
  </cellStyleXfs>
  <cellXfs count="123">
    <xf numFmtId="0" fontId="0" fillId="0" borderId="0" xfId="0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8" fontId="3" fillId="0" borderId="6" xfId="0" applyNumberFormat="1" applyFont="1" applyBorder="1"/>
    <xf numFmtId="8" fontId="3" fillId="0" borderId="7" xfId="0" applyNumberFormat="1" applyFont="1" applyBorder="1"/>
    <xf numFmtId="8" fontId="9" fillId="0" borderId="8" xfId="0" applyNumberFormat="1" applyFont="1" applyBorder="1" applyAlignment="1">
      <alignment horizontal="right" vertical="center"/>
    </xf>
    <xf numFmtId="8" fontId="5" fillId="0" borderId="0" xfId="0" applyNumberFormat="1" applyFont="1" applyAlignment="1">
      <alignment horizontal="right"/>
    </xf>
    <xf numFmtId="8" fontId="4" fillId="0" borderId="0" xfId="0" applyNumberFormat="1" applyFont="1" applyAlignment="1">
      <alignment horizontal="right"/>
    </xf>
    <xf numFmtId="8" fontId="0" fillId="0" borderId="9" xfId="0" applyNumberFormat="1" applyBorder="1"/>
    <xf numFmtId="8" fontId="5" fillId="0" borderId="10" xfId="0" applyNumberFormat="1" applyFont="1" applyBorder="1" applyAlignment="1">
      <alignment horizontal="right"/>
    </xf>
    <xf numFmtId="8" fontId="4" fillId="0" borderId="10" xfId="0" applyNumberFormat="1" applyFont="1" applyBorder="1" applyAlignment="1">
      <alignment horizontal="right"/>
    </xf>
    <xf numFmtId="8" fontId="5" fillId="0" borderId="11" xfId="0" applyNumberFormat="1" applyFont="1" applyBorder="1" applyAlignment="1">
      <alignment horizontal="right"/>
    </xf>
    <xf numFmtId="8" fontId="4" fillId="0" borderId="11" xfId="0" applyNumberFormat="1" applyFont="1" applyBorder="1" applyAlignment="1">
      <alignment horizontal="right"/>
    </xf>
    <xf numFmtId="0" fontId="1" fillId="0" borderId="0" xfId="0" applyFont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8" fontId="9" fillId="0" borderId="6" xfId="0" applyNumberFormat="1" applyFont="1" applyBorder="1" applyAlignment="1">
      <alignment horizontal="right" vertical="center"/>
    </xf>
    <xf numFmtId="8" fontId="11" fillId="0" borderId="15" xfId="0" applyNumberFormat="1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8" fontId="3" fillId="0" borderId="8" xfId="0" applyNumberFormat="1" applyFont="1" applyBorder="1"/>
    <xf numFmtId="0" fontId="1" fillId="0" borderId="4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8" fontId="9" fillId="0" borderId="3" xfId="0" applyNumberFormat="1" applyFont="1" applyBorder="1" applyAlignment="1">
      <alignment horizontal="center" vertical="center"/>
    </xf>
    <xf numFmtId="8" fontId="9" fillId="0" borderId="7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right"/>
    </xf>
    <xf numFmtId="8" fontId="9" fillId="0" borderId="6" xfId="0" applyNumberFormat="1" applyFont="1" applyBorder="1" applyAlignment="1">
      <alignment horizontal="center" vertical="center"/>
    </xf>
    <xf numFmtId="8" fontId="9" fillId="0" borderId="8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right"/>
    </xf>
    <xf numFmtId="8" fontId="9" fillId="0" borderId="24" xfId="0" applyNumberFormat="1" applyFont="1" applyBorder="1" applyAlignment="1">
      <alignment horizontal="right" vertical="center"/>
    </xf>
    <xf numFmtId="0" fontId="1" fillId="0" borderId="33" xfId="1" applyFont="1" applyBorder="1" applyAlignment="1">
      <alignment horizontal="left" vertical="center"/>
    </xf>
    <xf numFmtId="0" fontId="15" fillId="0" borderId="34" xfId="1" applyFont="1" applyBorder="1" applyAlignment="1" applyProtection="1">
      <alignment horizontal="center" vertical="center"/>
      <protection locked="0"/>
    </xf>
    <xf numFmtId="0" fontId="1" fillId="0" borderId="35" xfId="1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22" xfId="0" applyFont="1" applyBorder="1" applyAlignment="1">
      <alignment horizontal="center" vertical="center"/>
    </xf>
    <xf numFmtId="8" fontId="9" fillId="0" borderId="36" xfId="0" applyNumberFormat="1" applyFont="1" applyBorder="1" applyAlignment="1">
      <alignment horizontal="center" vertical="center"/>
    </xf>
    <xf numFmtId="49" fontId="1" fillId="0" borderId="38" xfId="0" applyNumberFormat="1" applyFont="1" applyBorder="1" applyAlignment="1">
      <alignment horizontal="center"/>
    </xf>
    <xf numFmtId="8" fontId="5" fillId="0" borderId="38" xfId="0" applyNumberFormat="1" applyFont="1" applyBorder="1" applyAlignment="1">
      <alignment horizontal="right"/>
    </xf>
    <xf numFmtId="8" fontId="4" fillId="0" borderId="38" xfId="0" applyNumberFormat="1" applyFont="1" applyBorder="1" applyAlignment="1">
      <alignment horizontal="right"/>
    </xf>
    <xf numFmtId="0" fontId="14" fillId="0" borderId="0" xfId="0" applyFont="1"/>
    <xf numFmtId="0" fontId="1" fillId="0" borderId="0" xfId="0" applyFont="1" applyAlignment="1">
      <alignment horizontal="right" vertical="center"/>
    </xf>
    <xf numFmtId="8" fontId="9" fillId="0" borderId="0" xfId="0" applyNumberFormat="1" applyFont="1" applyAlignment="1">
      <alignment horizontal="center" vertical="center"/>
    </xf>
    <xf numFmtId="8" fontId="5" fillId="0" borderId="2" xfId="0" applyNumberFormat="1" applyFont="1" applyBorder="1" applyAlignment="1">
      <alignment horizontal="right"/>
    </xf>
    <xf numFmtId="8" fontId="4" fillId="0" borderId="3" xfId="0" applyNumberFormat="1" applyFont="1" applyBorder="1" applyAlignment="1">
      <alignment horizontal="right"/>
    </xf>
    <xf numFmtId="49" fontId="1" fillId="4" borderId="1" xfId="0" applyNumberFormat="1" applyFont="1" applyFill="1" applyBorder="1" applyAlignment="1">
      <alignment horizontal="right"/>
    </xf>
    <xf numFmtId="49" fontId="1" fillId="0" borderId="2" xfId="0" applyNumberFormat="1" applyFont="1" applyBorder="1" applyAlignment="1">
      <alignment horizontal="right"/>
    </xf>
    <xf numFmtId="0" fontId="1" fillId="0" borderId="1" xfId="0" applyFont="1" applyBorder="1" applyAlignment="1">
      <alignment horizontal="right" vertical="center"/>
    </xf>
    <xf numFmtId="0" fontId="1" fillId="0" borderId="14" xfId="0" applyFont="1" applyBorder="1" applyAlignment="1">
      <alignment horizontal="right" vertical="center"/>
    </xf>
    <xf numFmtId="8" fontId="3" fillId="0" borderId="0" xfId="0" applyNumberFormat="1" applyFont="1"/>
    <xf numFmtId="0" fontId="1" fillId="0" borderId="40" xfId="0" applyFont="1" applyBorder="1" applyAlignment="1">
      <alignment horizontal="right" vertical="center"/>
    </xf>
    <xf numFmtId="0" fontId="1" fillId="0" borderId="41" xfId="0" applyFont="1" applyBorder="1" applyAlignment="1">
      <alignment horizontal="right" vertical="center"/>
    </xf>
    <xf numFmtId="49" fontId="1" fillId="4" borderId="37" xfId="0" applyNumberFormat="1" applyFont="1" applyFill="1" applyBorder="1" applyAlignment="1">
      <alignment horizontal="right"/>
    </xf>
    <xf numFmtId="8" fontId="4" fillId="0" borderId="46" xfId="0" applyNumberFormat="1" applyFont="1" applyBorder="1" applyAlignment="1">
      <alignment horizontal="right"/>
    </xf>
    <xf numFmtId="0" fontId="1" fillId="7" borderId="37" xfId="0" applyFont="1" applyFill="1" applyBorder="1" applyAlignment="1">
      <alignment horizontal="right"/>
    </xf>
    <xf numFmtId="0" fontId="1" fillId="8" borderId="4" xfId="0" applyFont="1" applyFill="1" applyBorder="1" applyAlignment="1">
      <alignment horizontal="right"/>
    </xf>
    <xf numFmtId="0" fontId="1" fillId="8" borderId="14" xfId="0" applyFont="1" applyFill="1" applyBorder="1" applyAlignment="1">
      <alignment horizontal="right"/>
    </xf>
    <xf numFmtId="49" fontId="1" fillId="6" borderId="42" xfId="0" applyNumberFormat="1" applyFont="1" applyFill="1" applyBorder="1" applyAlignment="1">
      <alignment horizontal="right"/>
    </xf>
    <xf numFmtId="49" fontId="1" fillId="6" borderId="43" xfId="0" applyNumberFormat="1" applyFont="1" applyFill="1" applyBorder="1" applyAlignment="1">
      <alignment horizontal="right"/>
    </xf>
    <xf numFmtId="8" fontId="5" fillId="6" borderId="44" xfId="0" applyNumberFormat="1" applyFont="1" applyFill="1" applyBorder="1" applyAlignment="1">
      <alignment horizontal="right"/>
    </xf>
    <xf numFmtId="8" fontId="4" fillId="6" borderId="45" xfId="0" applyNumberFormat="1" applyFont="1" applyFill="1" applyBorder="1" applyAlignment="1">
      <alignment horizontal="right"/>
    </xf>
    <xf numFmtId="49" fontId="1" fillId="0" borderId="38" xfId="0" applyNumberFormat="1" applyFont="1" applyBorder="1" applyAlignment="1">
      <alignment horizontal="right"/>
    </xf>
    <xf numFmtId="49" fontId="1" fillId="0" borderId="11" xfId="0" applyNumberFormat="1" applyFont="1" applyBorder="1" applyAlignment="1">
      <alignment horizontal="right"/>
    </xf>
    <xf numFmtId="8" fontId="4" fillId="0" borderId="8" xfId="0" applyNumberFormat="1" applyFont="1" applyBorder="1" applyAlignment="1">
      <alignment horizontal="right"/>
    </xf>
    <xf numFmtId="8" fontId="3" fillId="0" borderId="47" xfId="0" applyNumberFormat="1" applyFont="1" applyBorder="1"/>
    <xf numFmtId="8" fontId="4" fillId="0" borderId="47" xfId="0" applyNumberFormat="1" applyFont="1" applyBorder="1" applyAlignment="1">
      <alignment horizontal="right"/>
    </xf>
    <xf numFmtId="0" fontId="1" fillId="4" borderId="14" xfId="0" applyFont="1" applyFill="1" applyBorder="1" applyAlignment="1">
      <alignment horizontal="right"/>
    </xf>
    <xf numFmtId="0" fontId="1" fillId="0" borderId="37" xfId="0" applyFont="1" applyBorder="1" applyAlignment="1">
      <alignment horizontal="right"/>
    </xf>
    <xf numFmtId="8" fontId="1" fillId="0" borderId="38" xfId="0" applyNumberFormat="1" applyFont="1" applyBorder="1" applyAlignment="1">
      <alignment horizontal="center"/>
    </xf>
    <xf numFmtId="49" fontId="1" fillId="5" borderId="10" xfId="0" applyNumberFormat="1" applyFont="1" applyFill="1" applyBorder="1" applyAlignment="1">
      <alignment horizontal="center"/>
    </xf>
    <xf numFmtId="49" fontId="1" fillId="5" borderId="11" xfId="0" applyNumberFormat="1" applyFont="1" applyFill="1" applyBorder="1" applyAlignment="1">
      <alignment horizontal="center"/>
    </xf>
    <xf numFmtId="7" fontId="17" fillId="0" borderId="48" xfId="0" applyNumberFormat="1" applyFont="1" applyBorder="1" applyAlignment="1">
      <alignment horizontal="center" vertical="center"/>
    </xf>
    <xf numFmtId="7" fontId="17" fillId="0" borderId="49" xfId="0" applyNumberFormat="1" applyFont="1" applyBorder="1" applyAlignment="1">
      <alignment horizontal="center" vertical="center"/>
    </xf>
    <xf numFmtId="0" fontId="1" fillId="4" borderId="37" xfId="0" applyFont="1" applyFill="1" applyBorder="1" applyAlignment="1">
      <alignment horizontal="right"/>
    </xf>
    <xf numFmtId="0" fontId="13" fillId="0" borderId="13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1" fillId="0" borderId="25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2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12" fillId="2" borderId="21" xfId="0" applyFont="1" applyFill="1" applyBorder="1" applyAlignment="1">
      <alignment horizontal="center"/>
    </xf>
    <xf numFmtId="0" fontId="1" fillId="0" borderId="31" xfId="0" applyFont="1" applyBorder="1" applyAlignment="1">
      <alignment horizontal="right" vertical="center"/>
    </xf>
    <xf numFmtId="0" fontId="1" fillId="0" borderId="32" xfId="0" applyFont="1" applyBorder="1" applyAlignment="1">
      <alignment horizontal="right" vertical="center"/>
    </xf>
    <xf numFmtId="0" fontId="1" fillId="5" borderId="39" xfId="0" applyFont="1" applyFill="1" applyBorder="1" applyAlignment="1">
      <alignment horizontal="center"/>
    </xf>
    <xf numFmtId="0" fontId="1" fillId="5" borderId="29" xfId="0" applyFont="1" applyFill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C7" fmlaRange="$B$39:$B$50" noThreeD="1" sel="10" val="4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9525</xdr:rowOff>
        </xdr:from>
        <xdr:to>
          <xdr:col>2</xdr:col>
          <xdr:colOff>1247775</xdr:colOff>
          <xdr:row>6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51</xdr:row>
          <xdr:rowOff>66675</xdr:rowOff>
        </xdr:from>
        <xdr:to>
          <xdr:col>3</xdr:col>
          <xdr:colOff>1238250</xdr:colOff>
          <xdr:row>54</xdr:row>
          <xdr:rowOff>152400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37</xdr:row>
          <xdr:rowOff>0</xdr:rowOff>
        </xdr:from>
        <xdr:to>
          <xdr:col>3</xdr:col>
          <xdr:colOff>866775</xdr:colOff>
          <xdr:row>50</xdr:row>
          <xdr:rowOff>133350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76200</xdr:rowOff>
        </xdr:from>
        <xdr:to>
          <xdr:col>10</xdr:col>
          <xdr:colOff>209550</xdr:colOff>
          <xdr:row>9</xdr:row>
          <xdr:rowOff>133350</xdr:rowOff>
        </xdr:to>
        <xdr:sp macro="" textlink="">
          <xdr:nvSpPr>
            <xdr:cNvPr id="369665" name="CommandButton1" hidden="1">
              <a:extLst>
                <a:ext uri="{63B3BB69-23CF-44E3-9099-C40C66FF867C}">
                  <a14:compatExt spid="_x0000_s369665"/>
                </a:ext>
                <a:ext uri="{FF2B5EF4-FFF2-40B4-BE49-F238E27FC236}">
                  <a16:creationId xmlns:a16="http://schemas.microsoft.com/office/drawing/2014/main" id="{00000000-0008-0000-0100-000001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10</xdr:row>
          <xdr:rowOff>142875</xdr:rowOff>
        </xdr:from>
        <xdr:to>
          <xdr:col>10</xdr:col>
          <xdr:colOff>200025</xdr:colOff>
          <xdr:row>12</xdr:row>
          <xdr:rowOff>95250</xdr:rowOff>
        </xdr:to>
        <xdr:sp macro="" textlink="">
          <xdr:nvSpPr>
            <xdr:cNvPr id="369666" name="CommandButton2" hidden="1">
              <a:extLst>
                <a:ext uri="{63B3BB69-23CF-44E3-9099-C40C66FF867C}">
                  <a14:compatExt spid="_x0000_s369666"/>
                </a:ext>
                <a:ext uri="{FF2B5EF4-FFF2-40B4-BE49-F238E27FC236}">
                  <a16:creationId xmlns:a16="http://schemas.microsoft.com/office/drawing/2014/main" id="{00000000-0008-0000-0100-000002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76200</xdr:rowOff>
        </xdr:from>
        <xdr:to>
          <xdr:col>10</xdr:col>
          <xdr:colOff>209550</xdr:colOff>
          <xdr:row>9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10</xdr:row>
          <xdr:rowOff>142875</xdr:rowOff>
        </xdr:from>
        <xdr:to>
          <xdr:col>10</xdr:col>
          <xdr:colOff>200025</xdr:colOff>
          <xdr:row>12</xdr:row>
          <xdr:rowOff>95250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3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50"/>
  <sheetViews>
    <sheetView showGridLines="0" tabSelected="1" workbookViewId="0">
      <selection activeCell="M10" sqref="M10"/>
    </sheetView>
  </sheetViews>
  <sheetFormatPr baseColWidth="10" defaultRowHeight="12.75" x14ac:dyDescent="0.2"/>
  <cols>
    <col min="1" max="1" width="2.7109375" customWidth="1"/>
    <col min="2" max="2" width="24.140625" bestFit="1" customWidth="1"/>
    <col min="3" max="3" width="19" customWidth="1"/>
    <col min="4" max="4" width="18.7109375" customWidth="1"/>
    <col min="5" max="5" width="18.85546875" bestFit="1" customWidth="1"/>
    <col min="6" max="6" width="11" customWidth="1"/>
    <col min="9" max="9" width="18.42578125" hidden="1" customWidth="1"/>
    <col min="10" max="10" width="11.42578125" hidden="1" customWidth="1"/>
  </cols>
  <sheetData>
    <row r="1" spans="1:10" ht="13.5" thickBot="1" x14ac:dyDescent="0.25"/>
    <row r="2" spans="1:10" ht="18.75" thickBot="1" x14ac:dyDescent="0.3">
      <c r="A2" s="4"/>
      <c r="B2" s="90" t="s">
        <v>9</v>
      </c>
      <c r="C2" s="91"/>
      <c r="D2" s="91"/>
      <c r="E2" s="92"/>
      <c r="F2" s="30"/>
    </row>
    <row r="3" spans="1:10" ht="18.75" thickBot="1" x14ac:dyDescent="0.3">
      <c r="A3" s="4"/>
      <c r="B3" s="4"/>
      <c r="C3" s="4"/>
      <c r="D3" s="4"/>
      <c r="E3" s="4"/>
      <c r="F3" s="4"/>
      <c r="I3" s="53" t="s">
        <v>37</v>
      </c>
      <c r="J3">
        <v>35</v>
      </c>
    </row>
    <row r="4" spans="1:10" ht="18.75" thickBot="1" x14ac:dyDescent="0.3">
      <c r="A4" s="4"/>
      <c r="B4" s="87" t="s">
        <v>10</v>
      </c>
      <c r="C4" s="88"/>
      <c r="D4" s="88"/>
      <c r="E4" s="89"/>
      <c r="F4" s="30"/>
      <c r="I4" s="53" t="s">
        <v>38</v>
      </c>
      <c r="J4">
        <v>30</v>
      </c>
    </row>
    <row r="5" spans="1:10" ht="13.5" customHeight="1" thickBot="1" x14ac:dyDescent="0.3">
      <c r="A5" s="4"/>
      <c r="B5" s="22"/>
      <c r="C5" s="22"/>
      <c r="D5" s="22"/>
      <c r="E5" s="22"/>
      <c r="F5" s="22"/>
    </row>
    <row r="6" spans="1:10" ht="17.25" customHeight="1" x14ac:dyDescent="0.25">
      <c r="A6" s="4"/>
      <c r="B6" s="32" t="s">
        <v>27</v>
      </c>
      <c r="C6" s="44">
        <v>2026</v>
      </c>
      <c r="D6" s="22"/>
      <c r="E6" s="22"/>
      <c r="F6" s="22"/>
    </row>
    <row r="7" spans="1:10" ht="17.25" customHeight="1" thickBot="1" x14ac:dyDescent="0.3">
      <c r="A7" s="4"/>
      <c r="B7" s="33" t="s">
        <v>28</v>
      </c>
      <c r="C7" s="45">
        <v>10</v>
      </c>
      <c r="D7" s="22"/>
      <c r="E7" s="22"/>
      <c r="F7" s="22"/>
    </row>
    <row r="8" spans="1:10" ht="13.5" customHeight="1" thickBot="1" x14ac:dyDescent="0.3">
      <c r="A8" s="4"/>
      <c r="B8" s="22"/>
      <c r="C8" s="22"/>
      <c r="D8" s="22"/>
      <c r="E8" s="22"/>
      <c r="F8" s="22"/>
    </row>
    <row r="9" spans="1:10" ht="20.25" customHeight="1" thickBot="1" x14ac:dyDescent="0.3">
      <c r="A9" s="4"/>
      <c r="B9" s="93" t="s">
        <v>32</v>
      </c>
      <c r="C9" s="94"/>
      <c r="D9" s="95"/>
      <c r="E9" s="22"/>
      <c r="F9" s="22"/>
    </row>
    <row r="10" spans="1:10" ht="13.5" customHeight="1" x14ac:dyDescent="0.25">
      <c r="A10" s="4"/>
      <c r="B10" s="60" t="s">
        <v>43</v>
      </c>
      <c r="C10" s="46" t="s">
        <v>33</v>
      </c>
      <c r="D10" s="34">
        <v>2800</v>
      </c>
      <c r="E10" s="22"/>
      <c r="F10" s="22"/>
    </row>
    <row r="11" spans="1:10" ht="13.5" customHeight="1" x14ac:dyDescent="0.25">
      <c r="A11" s="4"/>
      <c r="B11" s="61" t="s">
        <v>57</v>
      </c>
      <c r="C11" s="48" t="s">
        <v>33</v>
      </c>
      <c r="D11" s="38">
        <v>0</v>
      </c>
      <c r="E11" s="22"/>
      <c r="F11" s="22"/>
    </row>
    <row r="12" spans="1:10" ht="13.5" customHeight="1" thickBot="1" x14ac:dyDescent="0.3">
      <c r="A12" s="4"/>
      <c r="B12" s="33"/>
      <c r="C12" s="47" t="s">
        <v>36</v>
      </c>
      <c r="D12" s="49">
        <v>0</v>
      </c>
      <c r="E12" s="22"/>
      <c r="F12" s="22"/>
    </row>
    <row r="13" spans="1:10" ht="13.5" customHeight="1" thickBot="1" x14ac:dyDescent="0.25"/>
    <row r="14" spans="1:10" ht="20.25" customHeight="1" thickBot="1" x14ac:dyDescent="0.25">
      <c r="B14" s="96" t="s">
        <v>23</v>
      </c>
      <c r="C14" s="97"/>
      <c r="D14" s="98" t="s">
        <v>40</v>
      </c>
      <c r="E14" s="99"/>
    </row>
    <row r="15" spans="1:10" ht="13.5" customHeight="1" x14ac:dyDescent="0.2">
      <c r="B15" s="32" t="s">
        <v>24</v>
      </c>
      <c r="C15" s="37">
        <v>0</v>
      </c>
      <c r="D15" s="63" t="s">
        <v>41</v>
      </c>
      <c r="E15" s="37">
        <v>200</v>
      </c>
    </row>
    <row r="16" spans="1:10" ht="13.5" customHeight="1" thickBot="1" x14ac:dyDescent="0.25">
      <c r="B16" s="33" t="s">
        <v>25</v>
      </c>
      <c r="C16" s="35">
        <v>0</v>
      </c>
      <c r="D16" s="64" t="s">
        <v>42</v>
      </c>
      <c r="E16" s="35">
        <v>50</v>
      </c>
    </row>
    <row r="17" spans="1:6" ht="13.5" customHeight="1" x14ac:dyDescent="0.2">
      <c r="B17" s="54"/>
      <c r="C17" s="22"/>
      <c r="D17" s="55"/>
    </row>
    <row r="18" spans="1:6" ht="13.5" thickBot="1" x14ac:dyDescent="0.25"/>
    <row r="19" spans="1:6" ht="20.25" customHeight="1" thickBot="1" x14ac:dyDescent="0.25">
      <c r="A19" s="22"/>
      <c r="B19" s="87" t="s">
        <v>39</v>
      </c>
      <c r="C19" s="88"/>
      <c r="D19" s="88"/>
      <c r="E19" s="89"/>
      <c r="F19" s="30"/>
    </row>
    <row r="20" spans="1:6" ht="13.5" thickBot="1" x14ac:dyDescent="0.25"/>
    <row r="21" spans="1:6" x14ac:dyDescent="0.2">
      <c r="B21" s="58" t="s">
        <v>44</v>
      </c>
      <c r="C21" s="59"/>
      <c r="D21" s="56">
        <v>500</v>
      </c>
      <c r="E21" s="57">
        <v>0</v>
      </c>
    </row>
    <row r="22" spans="1:6" x14ac:dyDescent="0.2">
      <c r="B22" s="79" t="s">
        <v>45</v>
      </c>
      <c r="C22" s="74"/>
      <c r="D22" s="20">
        <v>0</v>
      </c>
      <c r="E22" s="78">
        <v>0</v>
      </c>
    </row>
    <row r="23" spans="1:6" x14ac:dyDescent="0.2">
      <c r="B23" s="79" t="s">
        <v>58</v>
      </c>
      <c r="C23" s="74"/>
      <c r="D23" s="20">
        <v>64</v>
      </c>
      <c r="E23" s="78">
        <v>0</v>
      </c>
    </row>
    <row r="24" spans="1:6" x14ac:dyDescent="0.2">
      <c r="B24" s="79" t="s">
        <v>60</v>
      </c>
      <c r="C24" s="74"/>
      <c r="D24" s="20">
        <v>0</v>
      </c>
      <c r="E24" s="78">
        <v>0</v>
      </c>
    </row>
    <row r="25" spans="1:6" x14ac:dyDescent="0.2">
      <c r="B25" s="79" t="s">
        <v>59</v>
      </c>
      <c r="C25" s="74"/>
      <c r="D25" s="20">
        <v>4.99</v>
      </c>
      <c r="E25" s="78">
        <v>0</v>
      </c>
    </row>
    <row r="26" spans="1:6" x14ac:dyDescent="0.2">
      <c r="B26" s="79" t="s">
        <v>60</v>
      </c>
      <c r="C26" s="74"/>
      <c r="D26" s="20">
        <v>0</v>
      </c>
      <c r="E26" s="78">
        <v>0</v>
      </c>
    </row>
    <row r="27" spans="1:6" x14ac:dyDescent="0.2">
      <c r="B27" s="79" t="s">
        <v>46</v>
      </c>
      <c r="C27" s="74"/>
      <c r="D27" s="20">
        <v>45</v>
      </c>
      <c r="E27" s="78">
        <v>0</v>
      </c>
    </row>
    <row r="28" spans="1:6" x14ac:dyDescent="0.2">
      <c r="B28" s="79" t="s">
        <v>47</v>
      </c>
      <c r="C28" s="74"/>
      <c r="D28" s="20">
        <v>0</v>
      </c>
      <c r="E28" s="78">
        <v>0</v>
      </c>
    </row>
    <row r="29" spans="1:6" x14ac:dyDescent="0.2">
      <c r="B29" s="79" t="s">
        <v>48</v>
      </c>
      <c r="C29" s="74"/>
      <c r="D29" s="20">
        <v>0</v>
      </c>
      <c r="E29" s="78">
        <v>0</v>
      </c>
    </row>
    <row r="30" spans="1:6" x14ac:dyDescent="0.2">
      <c r="B30" s="79" t="s">
        <v>49</v>
      </c>
      <c r="C30" s="74"/>
      <c r="D30" s="20">
        <v>3.8</v>
      </c>
      <c r="E30" s="78">
        <v>0</v>
      </c>
    </row>
    <row r="31" spans="1:6" x14ac:dyDescent="0.2">
      <c r="B31" s="79" t="s">
        <v>50</v>
      </c>
      <c r="C31" s="74"/>
      <c r="D31" s="20">
        <v>14.99</v>
      </c>
      <c r="E31" s="78">
        <v>0</v>
      </c>
    </row>
    <row r="32" spans="1:6" x14ac:dyDescent="0.2">
      <c r="B32" s="79" t="s">
        <v>51</v>
      </c>
      <c r="C32" s="74"/>
      <c r="D32" s="20">
        <v>103</v>
      </c>
      <c r="E32" s="78">
        <v>0</v>
      </c>
    </row>
    <row r="33" spans="2:5" x14ac:dyDescent="0.2">
      <c r="B33" s="86" t="s">
        <v>60</v>
      </c>
      <c r="C33" s="74"/>
      <c r="D33" s="51">
        <v>0</v>
      </c>
      <c r="E33" s="78">
        <v>0</v>
      </c>
    </row>
    <row r="34" spans="2:5" x14ac:dyDescent="0.2">
      <c r="B34" s="79" t="s">
        <v>56</v>
      </c>
      <c r="C34" s="75"/>
      <c r="D34" s="20">
        <v>50</v>
      </c>
      <c r="E34" s="76">
        <v>0</v>
      </c>
    </row>
    <row r="35" spans="2:5" ht="13.5" thickBot="1" x14ac:dyDescent="0.25">
      <c r="B35" s="70"/>
      <c r="C35" s="71"/>
      <c r="D35" s="72"/>
      <c r="E35" s="73"/>
    </row>
    <row r="36" spans="2:5" x14ac:dyDescent="0.2">
      <c r="B36" s="1"/>
      <c r="C36" s="36"/>
      <c r="D36" s="15"/>
      <c r="E36" s="16"/>
    </row>
    <row r="37" spans="2:5" x14ac:dyDescent="0.2">
      <c r="B37" s="1"/>
      <c r="C37" s="36"/>
      <c r="D37" s="15"/>
      <c r="E37" s="16"/>
    </row>
    <row r="38" spans="2:5" x14ac:dyDescent="0.2">
      <c r="B38" s="1"/>
      <c r="C38" s="36"/>
      <c r="D38" s="15"/>
      <c r="E38" s="16"/>
    </row>
    <row r="39" spans="2:5" hidden="1" x14ac:dyDescent="0.2">
      <c r="B39" s="1" t="s">
        <v>11</v>
      </c>
      <c r="C39" s="36"/>
      <c r="D39" s="15"/>
      <c r="E39" s="16"/>
    </row>
    <row r="40" spans="2:5" hidden="1" x14ac:dyDescent="0.2">
      <c r="B40" s="1" t="s">
        <v>29</v>
      </c>
      <c r="C40" s="36"/>
      <c r="D40" s="15"/>
      <c r="E40" s="16"/>
    </row>
    <row r="41" spans="2:5" hidden="1" x14ac:dyDescent="0.2">
      <c r="B41" s="1" t="s">
        <v>12</v>
      </c>
      <c r="C41" s="36"/>
      <c r="D41" s="15"/>
      <c r="E41" s="16"/>
    </row>
    <row r="42" spans="2:5" hidden="1" x14ac:dyDescent="0.2">
      <c r="B42" s="1" t="s">
        <v>13</v>
      </c>
      <c r="C42" s="36"/>
      <c r="D42" s="15"/>
      <c r="E42" s="16"/>
    </row>
    <row r="43" spans="2:5" hidden="1" x14ac:dyDescent="0.2">
      <c r="B43" s="1" t="s">
        <v>14</v>
      </c>
      <c r="C43" s="36"/>
      <c r="D43" s="15"/>
      <c r="E43" s="16"/>
    </row>
    <row r="44" spans="2:5" hidden="1" x14ac:dyDescent="0.2">
      <c r="B44" s="1" t="s">
        <v>15</v>
      </c>
      <c r="C44" s="36"/>
      <c r="D44" s="15"/>
      <c r="E44" s="16"/>
    </row>
    <row r="45" spans="2:5" hidden="1" x14ac:dyDescent="0.2">
      <c r="B45" s="1" t="s">
        <v>16</v>
      </c>
      <c r="C45" s="36"/>
      <c r="D45" s="15"/>
      <c r="E45" s="16"/>
    </row>
    <row r="46" spans="2:5" hidden="1" x14ac:dyDescent="0.2">
      <c r="B46" s="1" t="s">
        <v>17</v>
      </c>
      <c r="C46" s="36"/>
      <c r="D46" s="15"/>
      <c r="E46" s="16"/>
    </row>
    <row r="47" spans="2:5" hidden="1" x14ac:dyDescent="0.2">
      <c r="B47" s="1" t="s">
        <v>30</v>
      </c>
      <c r="C47" s="36"/>
      <c r="D47" s="15"/>
      <c r="E47" s="16"/>
    </row>
    <row r="48" spans="2:5" hidden="1" x14ac:dyDescent="0.2">
      <c r="B48" s="1" t="s">
        <v>18</v>
      </c>
      <c r="C48" s="36"/>
      <c r="D48" s="15"/>
      <c r="E48" s="16"/>
    </row>
    <row r="49" spans="2:5" hidden="1" x14ac:dyDescent="0.2">
      <c r="B49" s="1" t="s">
        <v>19</v>
      </c>
      <c r="C49" s="36"/>
      <c r="D49" s="15"/>
      <c r="E49" s="16"/>
    </row>
    <row r="50" spans="2:5" hidden="1" x14ac:dyDescent="0.2">
      <c r="B50" s="1" t="s">
        <v>31</v>
      </c>
    </row>
  </sheetData>
  <mergeCells count="6">
    <mergeCell ref="B19:E19"/>
    <mergeCell ref="B4:E4"/>
    <mergeCell ref="B2:E2"/>
    <mergeCell ref="B9:D9"/>
    <mergeCell ref="B14:C14"/>
    <mergeCell ref="D14:E14"/>
  </mergeCells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2</xdr:col>
                <xdr:colOff>152400</xdr:colOff>
                <xdr:row>51</xdr:row>
                <xdr:rowOff>66675</xdr:rowOff>
              </from>
              <to>
                <xdr:col>3</xdr:col>
                <xdr:colOff>1238250</xdr:colOff>
                <xdr:row>54</xdr:row>
                <xdr:rowOff>152400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r:id="rId7">
            <anchor moveWithCells="1">
              <from>
                <xdr:col>2</xdr:col>
                <xdr:colOff>552450</xdr:colOff>
                <xdr:row>37</xdr:row>
                <xdr:rowOff>0</xdr:rowOff>
              </from>
              <to>
                <xdr:col>3</xdr:col>
                <xdr:colOff>866775</xdr:colOff>
                <xdr:row>50</xdr:row>
                <xdr:rowOff>133350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25" r:id="rId8" name="Drop Down 1">
          <controlPr defaultSize="0" autoLine="0" autoPict="0">
            <anchor moveWithCells="1">
              <from>
                <xdr:col>2</xdr:col>
                <xdr:colOff>9525</xdr:colOff>
                <xdr:row>6</xdr:row>
                <xdr:rowOff>9525</xdr:rowOff>
              </from>
              <to>
                <xdr:col>2</xdr:col>
                <xdr:colOff>1247775</xdr:colOff>
                <xdr:row>6</xdr:row>
                <xdr:rowOff>209550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63617-BB9A-4493-8503-563EEFD91891}">
  <sheetPr codeName="Feuil12"/>
  <dimension ref="B1:R62"/>
  <sheetViews>
    <sheetView showGridLines="0" zoomScaleNormal="100" workbookViewId="0">
      <selection activeCell="G9" sqref="G9"/>
    </sheetView>
  </sheetViews>
  <sheetFormatPr baseColWidth="10" defaultRowHeight="12.75" x14ac:dyDescent="0.2"/>
  <cols>
    <col min="1" max="1" width="2.7109375" customWidth="1"/>
    <col min="2" max="2" width="9.85546875" bestFit="1" customWidth="1"/>
    <col min="3" max="3" width="25.7109375" customWidth="1"/>
    <col min="4" max="4" width="13.42578125" bestFit="1" customWidth="1"/>
    <col min="5" max="7" width="12.7109375" customWidth="1"/>
    <col min="8" max="8" width="8.7109375" bestFit="1" customWidth="1"/>
    <col min="10" max="10" width="19.5703125" customWidth="1"/>
    <col min="11" max="11" width="14.42578125" bestFit="1" customWidth="1"/>
    <col min="13" max="13" width="13.140625" hidden="1" customWidth="1"/>
    <col min="14" max="15" width="11.42578125" hidden="1" customWidth="1"/>
    <col min="18" max="18" width="14.42578125" bestFit="1" customWidth="1"/>
  </cols>
  <sheetData>
    <row r="1" spans="2:18" ht="13.5" thickBot="1" x14ac:dyDescent="0.25"/>
    <row r="2" spans="2:18" ht="18.75" thickBot="1" x14ac:dyDescent="0.3">
      <c r="B2" s="90" t="s">
        <v>0</v>
      </c>
      <c r="C2" s="91"/>
      <c r="D2" s="91"/>
      <c r="E2" s="91"/>
      <c r="F2" s="91"/>
      <c r="G2" s="92"/>
      <c r="M2" s="41" t="s">
        <v>26</v>
      </c>
      <c r="N2" s="42">
        <f>Configuration!C6</f>
        <v>2026</v>
      </c>
      <c r="O2" s="43">
        <f>Configuration!C7</f>
        <v>10</v>
      </c>
    </row>
    <row r="3" spans="2:18" ht="18.75" thickBot="1" x14ac:dyDescent="0.3">
      <c r="C3" s="4"/>
      <c r="D3" s="4"/>
      <c r="E3" s="4"/>
      <c r="F3" s="4"/>
      <c r="G3" s="4"/>
    </row>
    <row r="4" spans="2:18" ht="24" thickBot="1" x14ac:dyDescent="0.4">
      <c r="B4" s="120" t="str">
        <f>PROPER(TEXT(DATE(N2,O2,1),"MMMM AAAA"))</f>
        <v>Octobre 2026</v>
      </c>
      <c r="C4" s="121"/>
      <c r="D4" s="121"/>
      <c r="E4" s="121"/>
      <c r="F4" s="121"/>
      <c r="G4" s="122"/>
      <c r="I4" s="113" t="s">
        <v>7</v>
      </c>
      <c r="J4" s="114"/>
      <c r="K4" s="115"/>
      <c r="M4" s="53" t="s">
        <v>34</v>
      </c>
      <c r="N4">
        <v>38</v>
      </c>
      <c r="P4" s="113" t="s">
        <v>63</v>
      </c>
      <c r="Q4" s="114"/>
      <c r="R4" s="115"/>
    </row>
    <row r="5" spans="2:18" ht="18.75" thickBot="1" x14ac:dyDescent="0.3">
      <c r="E5" s="5"/>
      <c r="F5" s="5"/>
      <c r="I5" s="116" t="s">
        <v>20</v>
      </c>
      <c r="J5" s="117"/>
      <c r="K5" s="29">
        <f ca="1">G38</f>
        <v>622.18000000000018</v>
      </c>
      <c r="P5" s="116" t="s">
        <v>62</v>
      </c>
      <c r="Q5" s="117"/>
      <c r="R5" s="29">
        <f ca="1">INDIRECT("'"&amp;feuiprec()&amp;"'!R5")+E18</f>
        <v>0</v>
      </c>
    </row>
    <row r="6" spans="2:18" ht="13.5" thickBot="1" x14ac:dyDescent="0.25">
      <c r="B6" s="27" t="s">
        <v>3</v>
      </c>
      <c r="C6" s="6" t="s">
        <v>5</v>
      </c>
      <c r="D6" s="23" t="s">
        <v>22</v>
      </c>
      <c r="E6" s="7" t="s">
        <v>1</v>
      </c>
      <c r="F6" s="8" t="s">
        <v>6</v>
      </c>
      <c r="G6" s="9" t="s">
        <v>2</v>
      </c>
      <c r="I6" s="100" t="s">
        <v>52</v>
      </c>
      <c r="J6" s="101"/>
      <c r="K6" s="84">
        <f ca="1">SUMIF(C16:E170,VLOOKUP("Courses :",C16:E170,1,FALSE),E16:E170)</f>
        <v>0</v>
      </c>
    </row>
    <row r="7" spans="2:18" ht="13.5" thickBot="1" x14ac:dyDescent="0.25">
      <c r="B7" s="26"/>
      <c r="C7" s="10" t="str">
        <f>Configuration!B10</f>
        <v>Romain :</v>
      </c>
      <c r="D7" s="102"/>
      <c r="E7" s="103"/>
      <c r="F7" s="104"/>
      <c r="G7" s="28">
        <v>2600</v>
      </c>
      <c r="I7" s="111" t="s">
        <v>53</v>
      </c>
      <c r="J7" s="112"/>
      <c r="K7" s="85">
        <f ca="1">SUMIF(C16:E170,VLOOKUP("Carburant :",C16:E170,1,FALSE),E16:E170)</f>
        <v>0</v>
      </c>
    </row>
    <row r="8" spans="2:18" ht="13.5" thickBot="1" x14ac:dyDescent="0.25">
      <c r="B8" s="26"/>
      <c r="C8" s="39" t="str">
        <f>Configuration!B11</f>
        <v>NDF :</v>
      </c>
      <c r="D8" s="105"/>
      <c r="E8" s="106"/>
      <c r="F8" s="107"/>
      <c r="G8" s="40">
        <f>Configuration!D11</f>
        <v>0</v>
      </c>
    </row>
    <row r="9" spans="2:18" ht="18.75" thickBot="1" x14ac:dyDescent="0.3">
      <c r="B9" s="26"/>
      <c r="C9" s="25" t="s">
        <v>8</v>
      </c>
      <c r="D9" s="105"/>
      <c r="E9" s="106"/>
      <c r="F9" s="107"/>
      <c r="G9" s="14">
        <v>0</v>
      </c>
      <c r="P9" s="113" t="s">
        <v>74</v>
      </c>
      <c r="Q9" s="114"/>
      <c r="R9" s="115"/>
    </row>
    <row r="10" spans="2:18" ht="18.75" thickBot="1" x14ac:dyDescent="0.3">
      <c r="C10" s="11" t="s">
        <v>35</v>
      </c>
      <c r="D10" s="108"/>
      <c r="E10" s="109"/>
      <c r="F10" s="110"/>
      <c r="G10" s="13">
        <f>SUM(G7:G9)</f>
        <v>2600</v>
      </c>
      <c r="P10" s="116" t="s">
        <v>62</v>
      </c>
      <c r="Q10" s="117"/>
      <c r="R10" s="29">
        <f ca="1">INDIRECT("'"&amp;feuiprec()&amp;"'!R10")+E19</f>
        <v>100</v>
      </c>
    </row>
    <row r="11" spans="2:18" ht="13.5" thickBot="1" x14ac:dyDescent="0.25">
      <c r="C11" s="1"/>
      <c r="D11" s="1"/>
      <c r="E11" s="15"/>
      <c r="F11" s="16"/>
      <c r="G11" s="17"/>
    </row>
    <row r="12" spans="2:18" ht="13.5" thickBot="1" x14ac:dyDescent="0.25">
      <c r="B12" s="24" t="s">
        <v>4</v>
      </c>
      <c r="C12" s="68" t="str">
        <f>Configuration!B15</f>
        <v>CAF :</v>
      </c>
      <c r="D12" s="82"/>
      <c r="E12" s="18"/>
      <c r="F12" s="19">
        <v>600</v>
      </c>
      <c r="G12" s="12">
        <f>SUM(G10, -E12, +F12)</f>
        <v>3200</v>
      </c>
    </row>
    <row r="13" spans="2:18" x14ac:dyDescent="0.2">
      <c r="C13" s="69" t="str">
        <f>Configuration!B16</f>
        <v>Autres :</v>
      </c>
      <c r="D13" s="83"/>
      <c r="E13" s="20"/>
      <c r="F13" s="21">
        <f>Configuration!C16</f>
        <v>0</v>
      </c>
      <c r="G13" s="31">
        <f t="shared" ref="G13:G38" si="0">SUM(G12, -E13, +F13)</f>
        <v>3200</v>
      </c>
    </row>
    <row r="14" spans="2:18" x14ac:dyDescent="0.2">
      <c r="C14" s="67" t="str">
        <f>Configuration!D15</f>
        <v>Courses :</v>
      </c>
      <c r="D14" s="81">
        <v>400</v>
      </c>
      <c r="E14" s="51">
        <f ca="1">IF(D14&lt;&gt;"",IF(D14-SUMIF(C16:E169,VLOOKUP("Courses :",C16:E169,1,FALSE),E16:E169)&lt;=0,"0",D14-SUMIF(C16:E169,VLOOKUP("Courses :",C16:E169,1,FALSE),E16:E169)),IF(Configuration!E15-SUMIF(C16:E169,VLOOKUP("Courses :",C16:E169,1,FALSE),E16:E169)&lt;=0,"0",Configuration!E15-SUMIF(C16:E169,VLOOKUP("Courses :",C16:E169,1,FALSE),E16:E169)))</f>
        <v>400</v>
      </c>
      <c r="F14" s="52">
        <f>Configuration!E21</f>
        <v>0</v>
      </c>
      <c r="G14" s="31">
        <f t="shared" ca="1" si="0"/>
        <v>2800</v>
      </c>
    </row>
    <row r="15" spans="2:18" x14ac:dyDescent="0.2">
      <c r="C15" s="67" t="str">
        <f>Configuration!D16</f>
        <v>Carburant :</v>
      </c>
      <c r="D15" s="81">
        <v>100</v>
      </c>
      <c r="E15" s="51">
        <f ca="1">IF(D15&lt;&gt;"",IF(D15-SUMIF(C16:E169,VLOOKUP("Carburant :",C16:E169,1,FALSE),E16:E169)&lt;=0,"0",D15-SUMIF(C16:E169,VLOOKUP("Carburant :",C16:E169,1,FALSE),E16:E169)),IF(Configuration!E16-SUMIF(C16:E169,VLOOKUP("Carburant :",C16:E169,1,FALSE),E16:E169)&lt;=0,"0",Configuration!E16-SUMIF(C16:E169,VLOOKUP("Carburant :",C16:E169,1,FALSE),E16:E169)))</f>
        <v>100</v>
      </c>
      <c r="F15" s="66">
        <v>0</v>
      </c>
      <c r="G15" s="31">
        <f t="shared" ca="1" si="0"/>
        <v>2700</v>
      </c>
    </row>
    <row r="16" spans="2:18" x14ac:dyDescent="0.2">
      <c r="C16" s="65" t="str">
        <f>Configuration!B21</f>
        <v>Loyer :</v>
      </c>
      <c r="D16" s="50"/>
      <c r="E16" s="51">
        <v>801</v>
      </c>
      <c r="F16" s="52">
        <v>0</v>
      </c>
      <c r="G16" s="31">
        <f t="shared" ca="1" si="0"/>
        <v>1899</v>
      </c>
    </row>
    <row r="17" spans="3:7" x14ac:dyDescent="0.2">
      <c r="C17" s="65" t="s">
        <v>69</v>
      </c>
      <c r="D17" s="50"/>
      <c r="E17" s="51">
        <v>9.99</v>
      </c>
      <c r="F17" s="52">
        <f>Configuration!E22</f>
        <v>0</v>
      </c>
      <c r="G17" s="77">
        <f t="shared" ca="1" si="0"/>
        <v>1889.01</v>
      </c>
    </row>
    <row r="18" spans="3:7" x14ac:dyDescent="0.2">
      <c r="C18" s="65" t="s">
        <v>61</v>
      </c>
      <c r="D18" s="50"/>
      <c r="E18" s="51">
        <v>0</v>
      </c>
      <c r="F18" s="52">
        <f>Configuration!E23</f>
        <v>0</v>
      </c>
      <c r="G18" s="77">
        <f t="shared" ca="1" si="0"/>
        <v>1889.01</v>
      </c>
    </row>
    <row r="19" spans="3:7" x14ac:dyDescent="0.2">
      <c r="C19" s="65" t="s">
        <v>73</v>
      </c>
      <c r="D19" s="50"/>
      <c r="E19" s="51">
        <v>100</v>
      </c>
      <c r="F19" s="52">
        <f>Configuration!E24</f>
        <v>0</v>
      </c>
      <c r="G19" s="77">
        <f t="shared" ca="1" si="0"/>
        <v>1789.01</v>
      </c>
    </row>
    <row r="20" spans="3:7" x14ac:dyDescent="0.2">
      <c r="C20" s="65" t="str">
        <f>Configuration!B25</f>
        <v>Mobile :</v>
      </c>
      <c r="D20" s="50"/>
      <c r="E20" s="51">
        <v>9.99</v>
      </c>
      <c r="F20" s="52">
        <f>Configuration!E25</f>
        <v>0</v>
      </c>
      <c r="G20" s="77">
        <f t="shared" ca="1" si="0"/>
        <v>1779.02</v>
      </c>
    </row>
    <row r="21" spans="3:7" x14ac:dyDescent="0.2">
      <c r="C21" s="65" t="s">
        <v>67</v>
      </c>
      <c r="D21" s="50"/>
      <c r="E21" s="51">
        <v>487</v>
      </c>
      <c r="F21" s="52">
        <f>Configuration!E26</f>
        <v>0</v>
      </c>
      <c r="G21" s="77">
        <f t="shared" ca="1" si="0"/>
        <v>1292.02</v>
      </c>
    </row>
    <row r="22" spans="3:7" x14ac:dyDescent="0.2">
      <c r="C22" s="65" t="str">
        <f>Configuration!B27</f>
        <v>Assurance Voiture :</v>
      </c>
      <c r="D22" s="50"/>
      <c r="E22" s="51">
        <v>135.88999999999999</v>
      </c>
      <c r="F22" s="52">
        <f>Configuration!E27</f>
        <v>0</v>
      </c>
      <c r="G22" s="77">
        <f t="shared" ca="1" si="0"/>
        <v>1156.1300000000001</v>
      </c>
    </row>
    <row r="23" spans="3:7" x14ac:dyDescent="0.2">
      <c r="C23" s="65" t="s">
        <v>72</v>
      </c>
      <c r="D23" s="50"/>
      <c r="E23" s="51">
        <v>8.99</v>
      </c>
      <c r="F23" s="52">
        <f>Configuration!E28</f>
        <v>0</v>
      </c>
      <c r="G23" s="77">
        <f t="shared" ca="1" si="0"/>
        <v>1147.1400000000001</v>
      </c>
    </row>
    <row r="24" spans="3:7" x14ac:dyDescent="0.2">
      <c r="C24" s="65" t="s">
        <v>66</v>
      </c>
      <c r="D24" s="50"/>
      <c r="E24" s="51">
        <v>18</v>
      </c>
      <c r="F24" s="52">
        <f>Configuration!E29</f>
        <v>0</v>
      </c>
      <c r="G24" s="77">
        <f t="shared" ca="1" si="0"/>
        <v>1129.1400000000001</v>
      </c>
    </row>
    <row r="25" spans="3:7" x14ac:dyDescent="0.2">
      <c r="C25" s="65" t="str">
        <f>Configuration!B30</f>
        <v>Assurance LCL :</v>
      </c>
      <c r="D25" s="50"/>
      <c r="E25" s="51">
        <f>Configuration!D30</f>
        <v>3.8</v>
      </c>
      <c r="F25" s="52">
        <f>Configuration!E30</f>
        <v>0</v>
      </c>
      <c r="G25" s="77">
        <f t="shared" ca="1" si="0"/>
        <v>1125.3400000000001</v>
      </c>
    </row>
    <row r="26" spans="3:7" x14ac:dyDescent="0.2">
      <c r="C26" s="65" t="str">
        <f>Configuration!B31</f>
        <v>Spotify :</v>
      </c>
      <c r="D26" s="50"/>
      <c r="E26" s="51">
        <v>18.989999999999998</v>
      </c>
      <c r="F26" s="52">
        <f>Configuration!E31</f>
        <v>0</v>
      </c>
      <c r="G26" s="77">
        <f t="shared" ca="1" si="0"/>
        <v>1106.3500000000001</v>
      </c>
    </row>
    <row r="27" spans="3:7" x14ac:dyDescent="0.2">
      <c r="C27" s="65" t="s">
        <v>65</v>
      </c>
      <c r="D27" s="50"/>
      <c r="E27" s="51">
        <v>15.99</v>
      </c>
      <c r="F27" s="52">
        <f>Configuration!E32</f>
        <v>0</v>
      </c>
      <c r="G27" s="77">
        <f t="shared" ca="1" si="0"/>
        <v>1090.3600000000001</v>
      </c>
    </row>
    <row r="28" spans="3:7" x14ac:dyDescent="0.2">
      <c r="C28" s="65" t="s">
        <v>71</v>
      </c>
      <c r="D28" s="50"/>
      <c r="E28" s="51">
        <v>2</v>
      </c>
      <c r="F28" s="52">
        <f>Configuration!E33</f>
        <v>0</v>
      </c>
      <c r="G28" s="77">
        <f t="shared" ca="1" si="0"/>
        <v>1088.3600000000001</v>
      </c>
    </row>
    <row r="29" spans="3:7" x14ac:dyDescent="0.2">
      <c r="C29" s="86" t="str">
        <f>Configuration!B34</f>
        <v>Cantine :</v>
      </c>
      <c r="D29" s="50"/>
      <c r="E29" s="51">
        <v>150</v>
      </c>
      <c r="F29" s="52">
        <f>Configuration!E34</f>
        <v>0</v>
      </c>
      <c r="G29" s="77">
        <f t="shared" ca="1" si="0"/>
        <v>938.36000000000013</v>
      </c>
    </row>
    <row r="30" spans="3:7" x14ac:dyDescent="0.2">
      <c r="C30" s="80" t="s">
        <v>68</v>
      </c>
      <c r="D30" s="50" t="s">
        <v>54</v>
      </c>
      <c r="E30" s="51">
        <v>145</v>
      </c>
      <c r="F30" s="52">
        <v>0</v>
      </c>
      <c r="G30" s="77">
        <f t="shared" ca="1" si="0"/>
        <v>793.36000000000013</v>
      </c>
    </row>
    <row r="31" spans="3:7" x14ac:dyDescent="0.2">
      <c r="C31" s="80" t="s">
        <v>64</v>
      </c>
      <c r="D31" s="50" t="s">
        <v>54</v>
      </c>
      <c r="E31" s="51">
        <v>45</v>
      </c>
      <c r="F31" s="52">
        <v>0</v>
      </c>
      <c r="G31" s="77">
        <f t="shared" ca="1" si="0"/>
        <v>748.36000000000013</v>
      </c>
    </row>
    <row r="32" spans="3:7" x14ac:dyDescent="0.2">
      <c r="C32" s="80" t="s">
        <v>70</v>
      </c>
      <c r="D32" s="50" t="s">
        <v>54</v>
      </c>
      <c r="E32" s="51">
        <v>65</v>
      </c>
      <c r="F32" s="52">
        <v>0</v>
      </c>
      <c r="G32" s="77">
        <f t="shared" ca="1" si="0"/>
        <v>683.36000000000013</v>
      </c>
    </row>
    <row r="33" spans="3:7" x14ac:dyDescent="0.2">
      <c r="C33" s="80" t="s">
        <v>55</v>
      </c>
      <c r="D33" s="50" t="s">
        <v>54</v>
      </c>
      <c r="E33" s="51">
        <v>61.18</v>
      </c>
      <c r="F33" s="52">
        <v>0</v>
      </c>
      <c r="G33" s="77">
        <f t="shared" ca="1" si="0"/>
        <v>622.18000000000018</v>
      </c>
    </row>
    <row r="34" spans="3:7" x14ac:dyDescent="0.2">
      <c r="C34" s="80"/>
      <c r="D34" s="50" t="s">
        <v>54</v>
      </c>
      <c r="E34" s="51">
        <v>0</v>
      </c>
      <c r="F34" s="52">
        <v>0</v>
      </c>
      <c r="G34" s="77">
        <f t="shared" ca="1" si="0"/>
        <v>622.18000000000018</v>
      </c>
    </row>
    <row r="35" spans="3:7" x14ac:dyDescent="0.2">
      <c r="C35" s="80"/>
      <c r="D35" s="50" t="s">
        <v>54</v>
      </c>
      <c r="E35" s="51">
        <v>0</v>
      </c>
      <c r="F35" s="52">
        <v>0</v>
      </c>
      <c r="G35" s="77">
        <f t="shared" ca="1" si="0"/>
        <v>622.18000000000018</v>
      </c>
    </row>
    <row r="36" spans="3:7" x14ac:dyDescent="0.2">
      <c r="C36" s="80"/>
      <c r="D36" s="50" t="s">
        <v>54</v>
      </c>
      <c r="E36" s="51">
        <v>0</v>
      </c>
      <c r="F36" s="52">
        <v>0</v>
      </c>
      <c r="G36" s="77">
        <f t="shared" ca="1" si="0"/>
        <v>622.18000000000018</v>
      </c>
    </row>
    <row r="37" spans="3:7" x14ac:dyDescent="0.2">
      <c r="C37" s="80"/>
      <c r="D37" s="50" t="s">
        <v>54</v>
      </c>
      <c r="E37" s="51">
        <v>0</v>
      </c>
      <c r="F37" s="52">
        <v>0</v>
      </c>
      <c r="G37" s="77">
        <f t="shared" ca="1" si="0"/>
        <v>622.18000000000018</v>
      </c>
    </row>
    <row r="38" spans="3:7" ht="13.5" thickBot="1" x14ac:dyDescent="0.25">
      <c r="C38" s="118"/>
      <c r="D38" s="119"/>
      <c r="E38" s="119"/>
      <c r="F38" s="119"/>
      <c r="G38" s="13">
        <f t="shared" ca="1" si="0"/>
        <v>622.18000000000018</v>
      </c>
    </row>
    <row r="39" spans="3:7" x14ac:dyDescent="0.2">
      <c r="C39" s="1"/>
      <c r="D39" s="1"/>
      <c r="E39" s="2"/>
      <c r="F39" s="3"/>
      <c r="G39" s="62"/>
    </row>
    <row r="40" spans="3:7" x14ac:dyDescent="0.2">
      <c r="C40" s="1"/>
      <c r="D40" s="1"/>
      <c r="E40" s="2"/>
      <c r="F40" s="3"/>
      <c r="G40" s="62"/>
    </row>
    <row r="41" spans="3:7" x14ac:dyDescent="0.2">
      <c r="G41" s="62"/>
    </row>
    <row r="62" spans="3:3" x14ac:dyDescent="0.2">
      <c r="C62" t="s">
        <v>21</v>
      </c>
    </row>
  </sheetData>
  <mergeCells count="12">
    <mergeCell ref="C38:F38"/>
    <mergeCell ref="B2:G2"/>
    <mergeCell ref="B4:G4"/>
    <mergeCell ref="I4:K4"/>
    <mergeCell ref="P4:R4"/>
    <mergeCell ref="I5:J5"/>
    <mergeCell ref="P5:Q5"/>
    <mergeCell ref="I6:J6"/>
    <mergeCell ref="D7:F10"/>
    <mergeCell ref="I7:J7"/>
    <mergeCell ref="P9:R9"/>
    <mergeCell ref="P10:Q10"/>
  </mergeCells>
  <conditionalFormatting sqref="D14:D15">
    <cfRule type="containsBlanks" dxfId="1" priority="1">
      <formula>LEN(TRIM(D14))=0</formula>
    </cfRule>
  </conditionalFormatting>
  <pageMargins left="0.78740157499999996" right="0.78740157499999996" top="0.984251969" bottom="0.984251969" header="0.4921259845" footer="0.4921259845"/>
  <pageSetup paperSize="9" scale="7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9665" r:id="rId4" name="CommandButton1">
          <controlPr defaultSize="0" autoLine="0" r:id="rId5">
            <anchor moveWithCells="1">
              <from>
                <xdr:col>8</xdr:col>
                <xdr:colOff>695325</xdr:colOff>
                <xdr:row>8</xdr:row>
                <xdr:rowOff>76200</xdr:rowOff>
              </from>
              <to>
                <xdr:col>10</xdr:col>
                <xdr:colOff>209550</xdr:colOff>
                <xdr:row>9</xdr:row>
                <xdr:rowOff>133350</xdr:rowOff>
              </to>
            </anchor>
          </controlPr>
        </control>
      </mc:Choice>
      <mc:Fallback>
        <control shapeId="369665" r:id="rId4" name="CommandButton1"/>
      </mc:Fallback>
    </mc:AlternateContent>
    <mc:AlternateContent xmlns:mc="http://schemas.openxmlformats.org/markup-compatibility/2006">
      <mc:Choice Requires="x14">
        <control shapeId="369666" r:id="rId6" name="CommandButton2">
          <controlPr defaultSize="0" autoLine="0" r:id="rId7">
            <anchor moveWithCells="1">
              <from>
                <xdr:col>8</xdr:col>
                <xdr:colOff>685800</xdr:colOff>
                <xdr:row>10</xdr:row>
                <xdr:rowOff>142875</xdr:rowOff>
              </from>
              <to>
                <xdr:col>10</xdr:col>
                <xdr:colOff>200025</xdr:colOff>
                <xdr:row>12</xdr:row>
                <xdr:rowOff>95250</xdr:rowOff>
              </to>
            </anchor>
          </controlPr>
        </control>
      </mc:Choice>
      <mc:Fallback>
        <control shapeId="36966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11"/>
  <dimension ref="B1:R62"/>
  <sheetViews>
    <sheetView showGridLines="0" zoomScaleNormal="100" workbookViewId="0">
      <selection activeCell="J27" sqref="J27"/>
    </sheetView>
  </sheetViews>
  <sheetFormatPr baseColWidth="10" defaultRowHeight="12.75" x14ac:dyDescent="0.2"/>
  <cols>
    <col min="1" max="1" width="2.7109375" customWidth="1"/>
    <col min="2" max="2" width="9.85546875" bestFit="1" customWidth="1"/>
    <col min="3" max="3" width="25.7109375" customWidth="1"/>
    <col min="4" max="4" width="13.42578125" bestFit="1" customWidth="1"/>
    <col min="5" max="7" width="12.7109375" customWidth="1"/>
    <col min="8" max="8" width="8.7109375" bestFit="1" customWidth="1"/>
    <col min="10" max="10" width="19.5703125" customWidth="1"/>
    <col min="11" max="11" width="14.42578125" bestFit="1" customWidth="1"/>
    <col min="13" max="13" width="13.140625" hidden="1" customWidth="1"/>
    <col min="14" max="15" width="11.42578125" hidden="1" customWidth="1"/>
    <col min="18" max="18" width="14.42578125" bestFit="1" customWidth="1"/>
  </cols>
  <sheetData>
    <row r="1" spans="2:18" ht="13.5" thickBot="1" x14ac:dyDescent="0.25"/>
    <row r="2" spans="2:18" ht="18.75" thickBot="1" x14ac:dyDescent="0.3">
      <c r="B2" s="90" t="s">
        <v>0</v>
      </c>
      <c r="C2" s="91"/>
      <c r="D2" s="91"/>
      <c r="E2" s="91"/>
      <c r="F2" s="91"/>
      <c r="G2" s="92"/>
      <c r="M2" s="41" t="s">
        <v>26</v>
      </c>
      <c r="N2" s="42">
        <f>Configuration!C6</f>
        <v>2026</v>
      </c>
      <c r="O2" s="43">
        <f>Configuration!C7</f>
        <v>10</v>
      </c>
    </row>
    <row r="3" spans="2:18" ht="18.75" thickBot="1" x14ac:dyDescent="0.3">
      <c r="C3" s="4"/>
      <c r="D3" s="4"/>
      <c r="E3" s="4"/>
      <c r="F3" s="4"/>
      <c r="G3" s="4"/>
    </row>
    <row r="4" spans="2:18" ht="24" thickBot="1" x14ac:dyDescent="0.4">
      <c r="B4" s="120" t="str">
        <f>PROPER(TEXT(DATE(N2,O2,1),"MMMM AAAA"))</f>
        <v>Octobre 2026</v>
      </c>
      <c r="C4" s="121"/>
      <c r="D4" s="121"/>
      <c r="E4" s="121"/>
      <c r="F4" s="121"/>
      <c r="G4" s="122"/>
      <c r="I4" s="113" t="s">
        <v>7</v>
      </c>
      <c r="J4" s="114"/>
      <c r="K4" s="115"/>
      <c r="M4" s="53" t="s">
        <v>34</v>
      </c>
      <c r="N4">
        <v>38</v>
      </c>
      <c r="P4" s="113" t="s">
        <v>63</v>
      </c>
      <c r="Q4" s="114"/>
      <c r="R4" s="115"/>
    </row>
    <row r="5" spans="2:18" ht="18.75" thickBot="1" x14ac:dyDescent="0.3">
      <c r="E5" s="5"/>
      <c r="F5" s="5"/>
      <c r="I5" s="116" t="s">
        <v>20</v>
      </c>
      <c r="J5" s="117"/>
      <c r="K5" s="29">
        <f ca="1">G38</f>
        <v>622.18000000000018</v>
      </c>
      <c r="P5" s="116" t="s">
        <v>62</v>
      </c>
      <c r="Q5" s="117"/>
      <c r="R5" s="29">
        <f ca="1">INDIRECT("'"&amp;feuiprec()&amp;"'!R5")+E18</f>
        <v>0</v>
      </c>
    </row>
    <row r="6" spans="2:18" ht="13.5" thickBot="1" x14ac:dyDescent="0.25">
      <c r="B6" s="27" t="s">
        <v>3</v>
      </c>
      <c r="C6" s="6" t="s">
        <v>5</v>
      </c>
      <c r="D6" s="23" t="s">
        <v>22</v>
      </c>
      <c r="E6" s="7" t="s">
        <v>1</v>
      </c>
      <c r="F6" s="8" t="s">
        <v>6</v>
      </c>
      <c r="G6" s="9" t="s">
        <v>2</v>
      </c>
      <c r="I6" s="100" t="s">
        <v>52</v>
      </c>
      <c r="J6" s="101"/>
      <c r="K6" s="84">
        <f ca="1">SUMIF(C16:E170,VLOOKUP("Courses :",C16:E170,1,FALSE),E16:E170)</f>
        <v>0</v>
      </c>
    </row>
    <row r="7" spans="2:18" ht="13.5" thickBot="1" x14ac:dyDescent="0.25">
      <c r="B7" s="26"/>
      <c r="C7" s="10" t="str">
        <f>Configuration!B10</f>
        <v>Romain :</v>
      </c>
      <c r="D7" s="102"/>
      <c r="E7" s="103"/>
      <c r="F7" s="104"/>
      <c r="G7" s="28">
        <v>2600</v>
      </c>
      <c r="I7" s="111" t="s">
        <v>53</v>
      </c>
      <c r="J7" s="112"/>
      <c r="K7" s="85">
        <f ca="1">SUMIF(C16:E170,VLOOKUP("Carburant :",C16:E170,1,FALSE),E16:E170)</f>
        <v>0</v>
      </c>
    </row>
    <row r="8" spans="2:18" ht="13.5" thickBot="1" x14ac:dyDescent="0.25">
      <c r="B8" s="26"/>
      <c r="C8" s="39" t="str">
        <f>Configuration!B11</f>
        <v>NDF :</v>
      </c>
      <c r="D8" s="105"/>
      <c r="E8" s="106"/>
      <c r="F8" s="107"/>
      <c r="G8" s="40">
        <f>Configuration!D11</f>
        <v>0</v>
      </c>
    </row>
    <row r="9" spans="2:18" ht="18.75" thickBot="1" x14ac:dyDescent="0.3">
      <c r="B9" s="26"/>
      <c r="C9" s="25" t="s">
        <v>8</v>
      </c>
      <c r="D9" s="105"/>
      <c r="E9" s="106"/>
      <c r="F9" s="107"/>
      <c r="G9" s="14"/>
      <c r="P9" s="113" t="s">
        <v>74</v>
      </c>
      <c r="Q9" s="114"/>
      <c r="R9" s="115"/>
    </row>
    <row r="10" spans="2:18" ht="18.75" thickBot="1" x14ac:dyDescent="0.3">
      <c r="C10" s="11" t="s">
        <v>35</v>
      </c>
      <c r="D10" s="108"/>
      <c r="E10" s="109"/>
      <c r="F10" s="110"/>
      <c r="G10" s="13">
        <f>SUM(G7:G9)</f>
        <v>2600</v>
      </c>
      <c r="P10" s="116" t="s">
        <v>62</v>
      </c>
      <c r="Q10" s="117"/>
      <c r="R10" s="29">
        <f ca="1">INDIRECT("'"&amp;feuiprec()&amp;"'!R10")+E19</f>
        <v>200</v>
      </c>
    </row>
    <row r="11" spans="2:18" ht="13.5" thickBot="1" x14ac:dyDescent="0.25">
      <c r="C11" s="1"/>
      <c r="D11" s="1"/>
      <c r="E11" s="15"/>
      <c r="F11" s="16"/>
      <c r="G11" s="17"/>
    </row>
    <row r="12" spans="2:18" ht="13.5" thickBot="1" x14ac:dyDescent="0.25">
      <c r="B12" s="24" t="s">
        <v>4</v>
      </c>
      <c r="C12" s="68" t="str">
        <f>Configuration!B15</f>
        <v>CAF :</v>
      </c>
      <c r="D12" s="82"/>
      <c r="E12" s="18"/>
      <c r="F12" s="19">
        <v>600</v>
      </c>
      <c r="G12" s="12">
        <f>SUM(G10, -E12, +F12)</f>
        <v>3200</v>
      </c>
    </row>
    <row r="13" spans="2:18" x14ac:dyDescent="0.2">
      <c r="C13" s="69" t="str">
        <f>Configuration!B16</f>
        <v>Autres :</v>
      </c>
      <c r="D13" s="83"/>
      <c r="E13" s="20"/>
      <c r="F13" s="21">
        <f>Configuration!C16</f>
        <v>0</v>
      </c>
      <c r="G13" s="31">
        <f t="shared" ref="G13:G29" si="0">SUM(G12, -E13, +F13)</f>
        <v>3200</v>
      </c>
    </row>
    <row r="14" spans="2:18" x14ac:dyDescent="0.2">
      <c r="C14" s="67" t="str">
        <f>Configuration!D15</f>
        <v>Courses :</v>
      </c>
      <c r="D14" s="81">
        <v>400</v>
      </c>
      <c r="E14" s="51">
        <f ca="1">IF(D14&lt;&gt;"",IF(D14-SUMIF(C16:E169,VLOOKUP("Courses :",C16:E169,1,FALSE),E16:E169)&lt;=0,"0",D14-SUMIF(C16:E169,VLOOKUP("Courses :",C16:E169,1,FALSE),E16:E169)),IF(Configuration!E15-SUMIF(C16:E169,VLOOKUP("Courses :",C16:E169,1,FALSE),E16:E169)&lt;=0,"0",Configuration!E15-SUMIF(C16:E169,VLOOKUP("Courses :",C16:E169,1,FALSE),E16:E169)))</f>
        <v>400</v>
      </c>
      <c r="F14" s="52">
        <f>Configuration!E21</f>
        <v>0</v>
      </c>
      <c r="G14" s="31">
        <f t="shared" ca="1" si="0"/>
        <v>2800</v>
      </c>
    </row>
    <row r="15" spans="2:18" x14ac:dyDescent="0.2">
      <c r="C15" s="67" t="str">
        <f>Configuration!D16</f>
        <v>Carburant :</v>
      </c>
      <c r="D15" s="81">
        <v>100</v>
      </c>
      <c r="E15" s="51">
        <f ca="1">IF(D15&lt;&gt;"",IF(D15-SUMIF(C16:E169,VLOOKUP("Carburant :",C16:E169,1,FALSE),E16:E169)&lt;=0,"0",D15-SUMIF(C16:E169,VLOOKUP("Carburant :",C16:E169,1,FALSE),E16:E169)),IF(Configuration!E16-SUMIF(C16:E169,VLOOKUP("Carburant :",C16:E169,1,FALSE),E16:E169)&lt;=0,"0",Configuration!E16-SUMIF(C16:E169,VLOOKUP("Carburant :",C16:E169,1,FALSE),E16:E169)))</f>
        <v>100</v>
      </c>
      <c r="F15" s="66">
        <v>0</v>
      </c>
      <c r="G15" s="31">
        <f t="shared" ca="1" si="0"/>
        <v>2700</v>
      </c>
    </row>
    <row r="16" spans="2:18" x14ac:dyDescent="0.2">
      <c r="C16" s="65" t="str">
        <f>Configuration!B21</f>
        <v>Loyer :</v>
      </c>
      <c r="D16" s="50"/>
      <c r="E16" s="51">
        <v>801</v>
      </c>
      <c r="F16" s="52">
        <v>0</v>
      </c>
      <c r="G16" s="31">
        <f t="shared" ca="1" si="0"/>
        <v>1899</v>
      </c>
    </row>
    <row r="17" spans="3:7" x14ac:dyDescent="0.2">
      <c r="C17" s="65" t="s">
        <v>69</v>
      </c>
      <c r="D17" s="50"/>
      <c r="E17" s="51">
        <v>9.99</v>
      </c>
      <c r="F17" s="52">
        <f>Configuration!E22</f>
        <v>0</v>
      </c>
      <c r="G17" s="77">
        <f t="shared" ca="1" si="0"/>
        <v>1889.01</v>
      </c>
    </row>
    <row r="18" spans="3:7" x14ac:dyDescent="0.2">
      <c r="C18" s="65" t="s">
        <v>61</v>
      </c>
      <c r="D18" s="50"/>
      <c r="E18" s="51">
        <v>0</v>
      </c>
      <c r="F18" s="52">
        <f>Configuration!E23</f>
        <v>0</v>
      </c>
      <c r="G18" s="77">
        <f t="shared" ca="1" si="0"/>
        <v>1889.01</v>
      </c>
    </row>
    <row r="19" spans="3:7" x14ac:dyDescent="0.2">
      <c r="C19" s="65" t="s">
        <v>73</v>
      </c>
      <c r="D19" s="50"/>
      <c r="E19" s="51">
        <v>100</v>
      </c>
      <c r="F19" s="52">
        <f>Configuration!E24</f>
        <v>0</v>
      </c>
      <c r="G19" s="77">
        <f t="shared" ca="1" si="0"/>
        <v>1789.01</v>
      </c>
    </row>
    <row r="20" spans="3:7" x14ac:dyDescent="0.2">
      <c r="C20" s="65" t="str">
        <f>Configuration!B25</f>
        <v>Mobile :</v>
      </c>
      <c r="D20" s="50"/>
      <c r="E20" s="51">
        <v>9.99</v>
      </c>
      <c r="F20" s="52">
        <f>Configuration!E25</f>
        <v>0</v>
      </c>
      <c r="G20" s="77">
        <f t="shared" ca="1" si="0"/>
        <v>1779.02</v>
      </c>
    </row>
    <row r="21" spans="3:7" x14ac:dyDescent="0.2">
      <c r="C21" s="65" t="s">
        <v>67</v>
      </c>
      <c r="D21" s="50"/>
      <c r="E21" s="51">
        <v>487</v>
      </c>
      <c r="F21" s="52">
        <f>Configuration!E26</f>
        <v>0</v>
      </c>
      <c r="G21" s="77">
        <f t="shared" ca="1" si="0"/>
        <v>1292.02</v>
      </c>
    </row>
    <row r="22" spans="3:7" x14ac:dyDescent="0.2">
      <c r="C22" s="65" t="str">
        <f>Configuration!B27</f>
        <v>Assurance Voiture :</v>
      </c>
      <c r="D22" s="50"/>
      <c r="E22" s="51">
        <v>135.88999999999999</v>
      </c>
      <c r="F22" s="52">
        <f>Configuration!E27</f>
        <v>0</v>
      </c>
      <c r="G22" s="77">
        <f t="shared" ca="1" si="0"/>
        <v>1156.1300000000001</v>
      </c>
    </row>
    <row r="23" spans="3:7" x14ac:dyDescent="0.2">
      <c r="C23" s="65" t="s">
        <v>72</v>
      </c>
      <c r="D23" s="50"/>
      <c r="E23" s="51">
        <v>8.99</v>
      </c>
      <c r="F23" s="52">
        <f>Configuration!E28</f>
        <v>0</v>
      </c>
      <c r="G23" s="77">
        <f t="shared" ca="1" si="0"/>
        <v>1147.1400000000001</v>
      </c>
    </row>
    <row r="24" spans="3:7" x14ac:dyDescent="0.2">
      <c r="C24" s="65" t="s">
        <v>66</v>
      </c>
      <c r="D24" s="50"/>
      <c r="E24" s="51">
        <v>18</v>
      </c>
      <c r="F24" s="52">
        <f>Configuration!E29</f>
        <v>0</v>
      </c>
      <c r="G24" s="77">
        <f t="shared" ca="1" si="0"/>
        <v>1129.1400000000001</v>
      </c>
    </row>
    <row r="25" spans="3:7" x14ac:dyDescent="0.2">
      <c r="C25" s="65" t="str">
        <f>Configuration!B30</f>
        <v>Assurance LCL :</v>
      </c>
      <c r="D25" s="50"/>
      <c r="E25" s="51">
        <f>Configuration!D30</f>
        <v>3.8</v>
      </c>
      <c r="F25" s="52">
        <f>Configuration!E30</f>
        <v>0</v>
      </c>
      <c r="G25" s="77">
        <f t="shared" ca="1" si="0"/>
        <v>1125.3400000000001</v>
      </c>
    </row>
    <row r="26" spans="3:7" x14ac:dyDescent="0.2">
      <c r="C26" s="65" t="str">
        <f>Configuration!B31</f>
        <v>Spotify :</v>
      </c>
      <c r="D26" s="50"/>
      <c r="E26" s="51">
        <v>18.989999999999998</v>
      </c>
      <c r="F26" s="52">
        <f>Configuration!E31</f>
        <v>0</v>
      </c>
      <c r="G26" s="77">
        <f t="shared" ca="1" si="0"/>
        <v>1106.3500000000001</v>
      </c>
    </row>
    <row r="27" spans="3:7" x14ac:dyDescent="0.2">
      <c r="C27" s="65" t="s">
        <v>65</v>
      </c>
      <c r="D27" s="50"/>
      <c r="E27" s="51">
        <v>15.99</v>
      </c>
      <c r="F27" s="52">
        <f>Configuration!E32</f>
        <v>0</v>
      </c>
      <c r="G27" s="77">
        <f t="shared" ca="1" si="0"/>
        <v>1090.3600000000001</v>
      </c>
    </row>
    <row r="28" spans="3:7" x14ac:dyDescent="0.2">
      <c r="C28" s="65" t="s">
        <v>71</v>
      </c>
      <c r="D28" s="50"/>
      <c r="E28" s="51">
        <v>2</v>
      </c>
      <c r="F28" s="52">
        <f>Configuration!E33</f>
        <v>0</v>
      </c>
      <c r="G28" s="77">
        <f t="shared" ca="1" si="0"/>
        <v>1088.3600000000001</v>
      </c>
    </row>
    <row r="29" spans="3:7" x14ac:dyDescent="0.2">
      <c r="C29" s="86" t="str">
        <f>Configuration!B34</f>
        <v>Cantine :</v>
      </c>
      <c r="D29" s="50"/>
      <c r="E29" s="51">
        <v>150</v>
      </c>
      <c r="F29" s="52">
        <f>Configuration!E34</f>
        <v>0</v>
      </c>
      <c r="G29" s="77">
        <f t="shared" ca="1" si="0"/>
        <v>938.36000000000013</v>
      </c>
    </row>
    <row r="30" spans="3:7" x14ac:dyDescent="0.2">
      <c r="C30" s="80" t="s">
        <v>68</v>
      </c>
      <c r="D30" s="50" t="s">
        <v>54</v>
      </c>
      <c r="E30" s="51">
        <v>145</v>
      </c>
      <c r="F30" s="52">
        <v>0</v>
      </c>
      <c r="G30" s="77">
        <f t="shared" ref="G30:G38" ca="1" si="1">SUM(G29, -E30, +F30)</f>
        <v>793.36000000000013</v>
      </c>
    </row>
    <row r="31" spans="3:7" x14ac:dyDescent="0.2">
      <c r="C31" s="80" t="s">
        <v>64</v>
      </c>
      <c r="D31" s="50" t="s">
        <v>54</v>
      </c>
      <c r="E31" s="51">
        <v>45</v>
      </c>
      <c r="F31" s="52">
        <v>0</v>
      </c>
      <c r="G31" s="77">
        <f t="shared" ca="1" si="1"/>
        <v>748.36000000000013</v>
      </c>
    </row>
    <row r="32" spans="3:7" x14ac:dyDescent="0.2">
      <c r="C32" s="80" t="s">
        <v>70</v>
      </c>
      <c r="D32" s="50" t="s">
        <v>54</v>
      </c>
      <c r="E32" s="51">
        <v>65</v>
      </c>
      <c r="F32" s="52">
        <v>0</v>
      </c>
      <c r="G32" s="77">
        <f t="shared" ca="1" si="1"/>
        <v>683.36000000000013</v>
      </c>
    </row>
    <row r="33" spans="3:7" x14ac:dyDescent="0.2">
      <c r="C33" s="80" t="s">
        <v>55</v>
      </c>
      <c r="D33" s="50" t="s">
        <v>54</v>
      </c>
      <c r="E33" s="51">
        <v>61.18</v>
      </c>
      <c r="F33" s="52">
        <v>0</v>
      </c>
      <c r="G33" s="77">
        <f t="shared" ca="1" si="1"/>
        <v>622.18000000000018</v>
      </c>
    </row>
    <row r="34" spans="3:7" x14ac:dyDescent="0.2">
      <c r="C34" s="80"/>
      <c r="D34" s="50" t="s">
        <v>54</v>
      </c>
      <c r="E34" s="51">
        <v>0</v>
      </c>
      <c r="F34" s="52">
        <v>0</v>
      </c>
      <c r="G34" s="77">
        <f t="shared" ca="1" si="1"/>
        <v>622.18000000000018</v>
      </c>
    </row>
    <row r="35" spans="3:7" x14ac:dyDescent="0.2">
      <c r="C35" s="80"/>
      <c r="D35" s="50" t="s">
        <v>54</v>
      </c>
      <c r="E35" s="51">
        <v>0</v>
      </c>
      <c r="F35" s="52">
        <v>0</v>
      </c>
      <c r="G35" s="77">
        <f t="shared" ca="1" si="1"/>
        <v>622.18000000000018</v>
      </c>
    </row>
    <row r="36" spans="3:7" x14ac:dyDescent="0.2">
      <c r="C36" s="80"/>
      <c r="D36" s="50" t="s">
        <v>54</v>
      </c>
      <c r="E36" s="51">
        <v>0</v>
      </c>
      <c r="F36" s="52">
        <v>0</v>
      </c>
      <c r="G36" s="77">
        <f t="shared" ca="1" si="1"/>
        <v>622.18000000000018</v>
      </c>
    </row>
    <row r="37" spans="3:7" x14ac:dyDescent="0.2">
      <c r="C37" s="80"/>
      <c r="D37" s="50" t="s">
        <v>54</v>
      </c>
      <c r="E37" s="51">
        <v>0</v>
      </c>
      <c r="F37" s="52">
        <v>0</v>
      </c>
      <c r="G37" s="77">
        <f t="shared" ca="1" si="1"/>
        <v>622.18000000000018</v>
      </c>
    </row>
    <row r="38" spans="3:7" ht="13.5" thickBot="1" x14ac:dyDescent="0.25">
      <c r="C38" s="118"/>
      <c r="D38" s="119"/>
      <c r="E38" s="119"/>
      <c r="F38" s="119"/>
      <c r="G38" s="13">
        <f t="shared" ca="1" si="1"/>
        <v>622.18000000000018</v>
      </c>
    </row>
    <row r="39" spans="3:7" x14ac:dyDescent="0.2">
      <c r="C39" s="1"/>
      <c r="D39" s="1"/>
      <c r="E39" s="2"/>
      <c r="F39" s="3"/>
      <c r="G39" s="62"/>
    </row>
    <row r="40" spans="3:7" x14ac:dyDescent="0.2">
      <c r="C40" s="1"/>
      <c r="D40" s="1"/>
      <c r="E40" s="2"/>
      <c r="F40" s="3"/>
      <c r="G40" s="62"/>
    </row>
    <row r="41" spans="3:7" x14ac:dyDescent="0.2">
      <c r="G41" s="62"/>
    </row>
    <row r="62" spans="3:3" x14ac:dyDescent="0.2">
      <c r="C62" t="s">
        <v>21</v>
      </c>
    </row>
  </sheetData>
  <mergeCells count="12">
    <mergeCell ref="P4:R4"/>
    <mergeCell ref="P5:Q5"/>
    <mergeCell ref="P9:R9"/>
    <mergeCell ref="P10:Q10"/>
    <mergeCell ref="B2:G2"/>
    <mergeCell ref="D7:F10"/>
    <mergeCell ref="B4:G4"/>
    <mergeCell ref="C38:F38"/>
    <mergeCell ref="I4:K4"/>
    <mergeCell ref="I5:J5"/>
    <mergeCell ref="I6:J6"/>
    <mergeCell ref="I7:J7"/>
  </mergeCells>
  <phoneticPr fontId="7" type="noConversion"/>
  <conditionalFormatting sqref="D14:D15">
    <cfRule type="containsBlanks" dxfId="0" priority="1">
      <formula>LEN(TRIM(D14))=0</formula>
    </cfRule>
  </conditionalFormatting>
  <pageMargins left="0.78740157499999996" right="0.78740157499999996" top="0.984251969" bottom="0.984251969" header="0.4921259845" footer="0.4921259845"/>
  <pageSetup paperSize="9" scale="7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8</xdr:col>
                <xdr:colOff>695325</xdr:colOff>
                <xdr:row>8</xdr:row>
                <xdr:rowOff>76200</xdr:rowOff>
              </from>
              <to>
                <xdr:col>10</xdr:col>
                <xdr:colOff>209550</xdr:colOff>
                <xdr:row>9</xdr:row>
                <xdr:rowOff>133350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r:id="rId7">
            <anchor moveWithCells="1">
              <from>
                <xdr:col>8</xdr:col>
                <xdr:colOff>685800</xdr:colOff>
                <xdr:row>10</xdr:row>
                <xdr:rowOff>142875</xdr:rowOff>
              </from>
              <to>
                <xdr:col>10</xdr:col>
                <xdr:colOff>200025</xdr:colOff>
                <xdr:row>12</xdr:row>
                <xdr:rowOff>95250</xdr:rowOff>
              </to>
            </anchor>
          </controlPr>
        </control>
      </mc:Choice>
      <mc:Fallback>
        <control shapeId="2051" r:id="rId6" name="CommandButton2"/>
      </mc:Fallback>
    </mc:AlternateContent>
  </controls>
</worksheet>
</file>

<file path=docMetadata/LabelInfo.xml><?xml version="1.0" encoding="utf-8"?>
<clbl:labelList xmlns:clbl="http://schemas.microsoft.com/office/2020/mipLabelMetadata">
  <clbl:label id="{936bf5db-7279-42a9-a4fe-7cc28d19660c}" enabled="0" method="" siteId="{936bf5db-7279-42a9-a4fe-7cc28d19660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Configuration</vt:lpstr>
      <vt:lpstr>Octobre 2026</vt:lpstr>
      <vt:lpstr>Type</vt:lpstr>
    </vt:vector>
  </TitlesOfParts>
  <Company>datops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Romain MARCHANDIER</cp:lastModifiedBy>
  <cp:lastPrinted>2008-12-08T17:25:41Z</cp:lastPrinted>
  <dcterms:created xsi:type="dcterms:W3CDTF">2006-01-31T11:32:20Z</dcterms:created>
  <dcterms:modified xsi:type="dcterms:W3CDTF">2026-09-28T11:59:45Z</dcterms:modified>
</cp:coreProperties>
</file>